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yan Internship\1_Final excel\"/>
    </mc:Choice>
  </mc:AlternateContent>
  <bookViews>
    <workbookView xWindow="240" yWindow="12" windowWidth="16092" windowHeight="9660"/>
  </bookViews>
  <sheets>
    <sheet name="Sheet1" sheetId="1" r:id="rId1"/>
    <sheet name="Sheet2" sheetId="2" r:id="rId2"/>
  </sheets>
  <definedNames>
    <definedName name="_xlnm._FilterDatabase" localSheetId="0" hidden="1">Sheet1!$A$1:$K$51</definedName>
  </definedName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</calcChain>
</file>

<file path=xl/sharedStrings.xml><?xml version="1.0" encoding="utf-8"?>
<sst xmlns="http://schemas.openxmlformats.org/spreadsheetml/2006/main" count="515" uniqueCount="94">
  <si>
    <t>Applicant's Name</t>
  </si>
  <si>
    <t>Job Position</t>
  </si>
  <si>
    <t>Stage</t>
  </si>
  <si>
    <t>Matching Score</t>
  </si>
  <si>
    <t>Evaluation</t>
  </si>
  <si>
    <t>Tags</t>
  </si>
  <si>
    <t>Recruiter</t>
  </si>
  <si>
    <t>Proposed</t>
  </si>
  <si>
    <t>Expected</t>
  </si>
  <si>
    <t>Alok Srivastava</t>
  </si>
  <si>
    <t>Trainee</t>
  </si>
  <si>
    <t>New</t>
  </si>
  <si>
    <t>Very Good</t>
  </si>
  <si>
    <t>Sales</t>
  </si>
  <si>
    <t>Ayan Rastogi</t>
  </si>
  <si>
    <t>Mohit Saxena</t>
  </si>
  <si>
    <t>Web Developer</t>
  </si>
  <si>
    <t>Good</t>
  </si>
  <si>
    <t>Reserve</t>
  </si>
  <si>
    <t>Manish Yadav</t>
  </si>
  <si>
    <t>Chief Technical Officer</t>
  </si>
  <si>
    <t>Excellent</t>
  </si>
  <si>
    <t>Manager</t>
  </si>
  <si>
    <t>Adarsh Patel</t>
  </si>
  <si>
    <t>Rakesh Kumar</t>
  </si>
  <si>
    <t>Human Resources Manager</t>
  </si>
  <si>
    <t>Abhinab Nandan Gogoi</t>
  </si>
  <si>
    <t>Kunal Verma</t>
  </si>
  <si>
    <t>Tanvi Bhatt</t>
  </si>
  <si>
    <t>IT</t>
  </si>
  <si>
    <t>Yash Malhotra</t>
  </si>
  <si>
    <t>Aman Bansal</t>
  </si>
  <si>
    <t>Neha Agarwal</t>
  </si>
  <si>
    <t>Intern Developer</t>
  </si>
  <si>
    <t>Intern</t>
  </si>
  <si>
    <t>Ananya Reddy</t>
  </si>
  <si>
    <t>Shreya Ghosh</t>
  </si>
  <si>
    <t>Devansh Tiwari</t>
  </si>
  <si>
    <t>Qualification</t>
  </si>
  <si>
    <t>Aditi Kulshrestha</t>
  </si>
  <si>
    <t>Ishita Chatterjee</t>
  </si>
  <si>
    <t>Nitin Arora</t>
  </si>
  <si>
    <t>Deepika Rao</t>
  </si>
  <si>
    <t>Marketing and Community Manager</t>
  </si>
  <si>
    <t>Rohit Shetty</t>
  </si>
  <si>
    <t>Vikas Choudhary</t>
  </si>
  <si>
    <t>Consultant</t>
  </si>
  <si>
    <t>Pooja Singh</t>
  </si>
  <si>
    <t>Kavya Iyer</t>
  </si>
  <si>
    <t>Tushar Sharma</t>
  </si>
  <si>
    <t>Riya Sinha</t>
  </si>
  <si>
    <t>First Interview</t>
  </si>
  <si>
    <t>Harsh Vardhan</t>
  </si>
  <si>
    <t>Ritu Saxena</t>
  </si>
  <si>
    <t>Pankaj Tripathi</t>
  </si>
  <si>
    <t>Varun Kapoor</t>
  </si>
  <si>
    <t>Gaurav Singh</t>
  </si>
  <si>
    <t>Himanshi Batra</t>
  </si>
  <si>
    <t>Rahul Deshmukh</t>
  </si>
  <si>
    <t>Arjun Nair</t>
  </si>
  <si>
    <t>Aarav Sharma</t>
  </si>
  <si>
    <t>Saurabh Pandey</t>
  </si>
  <si>
    <t>Rohan Mehta</t>
  </si>
  <si>
    <t>Second Interview</t>
  </si>
  <si>
    <t>Akash Mishra</t>
  </si>
  <si>
    <t>Aditya Joshi</t>
  </si>
  <si>
    <t>Kriti Verma</t>
  </si>
  <si>
    <t>Swati Desai</t>
  </si>
  <si>
    <t>Siddharth Jain</t>
  </si>
  <si>
    <t>Meera Pillai</t>
  </si>
  <si>
    <t>Abhishek Roy</t>
  </si>
  <si>
    <t>Contract Proposal</t>
  </si>
  <si>
    <t>Jyoti Sharma</t>
  </si>
  <si>
    <t>Nisha Kapoor</t>
  </si>
  <si>
    <t>Harsh Suthar</t>
  </si>
  <si>
    <t>Divya Nair</t>
  </si>
  <si>
    <t>Sakshi Malik</t>
  </si>
  <si>
    <t>Kiran Patil</t>
  </si>
  <si>
    <t>Contract Signed</t>
  </si>
  <si>
    <t>Piyush Aggarwal</t>
  </si>
  <si>
    <t>Prateek Dubey</t>
  </si>
  <si>
    <t>Sneha Kulkarni</t>
  </si>
  <si>
    <t>Priya Menon</t>
  </si>
  <si>
    <t>Department</t>
  </si>
  <si>
    <t>Management / Research &amp; Development</t>
  </si>
  <si>
    <t>Management / Sales</t>
  </si>
  <si>
    <t>Management / Administration / Professional Services</t>
  </si>
  <si>
    <t>Management / Administration</t>
  </si>
  <si>
    <t>Gap Status</t>
  </si>
  <si>
    <t>R&amp;D</t>
  </si>
  <si>
    <t>Professional Services</t>
  </si>
  <si>
    <t>Administration</t>
  </si>
  <si>
    <t>Applicant Name</t>
  </si>
  <si>
    <t>Applied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</si>
</sst>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 applyAlignment="1"/>
    <xf numFmtId="0" fontId="1" fillId="0" borderId="0" xfId="0" applyFont="1" applyAlignment="1"/>
    <xf numFmtId="14" fontId="1" fillId="0" borderId="0" xfId="0" applyNumberFormat="1" applyFont="1" applyAlignment="1"/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topLeftCell="C1" workbookViewId="0">
      <selection activeCell="L5" sqref="L5"/>
    </sheetView>
  </sheetViews>
  <sheetFormatPr defaultRowHeight="14.4" x14ac:dyDescent="0.3"/>
  <cols>
    <col min="1" max="1" width="19.88671875" style="4" customWidth="1"/>
    <col min="2" max="2" width="13.109375" style="5" customWidth="1"/>
    <col min="3" max="3" width="30.6640625" style="4" customWidth="1"/>
    <col min="4" max="4" width="20.77734375" style="4" customWidth="1"/>
    <col min="5" max="5" width="19.21875" style="4" customWidth="1"/>
    <col min="6" max="6" width="15.88671875" style="4" customWidth="1"/>
    <col min="7" max="7" width="23.44140625" style="4" customWidth="1"/>
    <col min="8" max="8" width="22.6640625" style="4" customWidth="1"/>
    <col min="9" max="9" width="18.77734375" style="4" customWidth="1"/>
    <col min="10" max="10" width="10.88671875" style="4" bestFit="1" customWidth="1"/>
    <col min="11" max="11" width="12.21875" style="4" customWidth="1"/>
    <col min="13" max="16384" width="8.88671875" style="4"/>
  </cols>
  <sheetData>
    <row r="1" spans="1:11" x14ac:dyDescent="0.3">
      <c r="A1" s="2" t="s">
        <v>92</v>
      </c>
      <c r="B1" s="3" t="s">
        <v>93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83</v>
      </c>
      <c r="H1" s="2" t="s">
        <v>6</v>
      </c>
      <c r="I1" s="2" t="s">
        <v>7</v>
      </c>
      <c r="J1" s="2" t="s">
        <v>8</v>
      </c>
      <c r="K1" s="2" t="s">
        <v>88</v>
      </c>
    </row>
    <row r="2" spans="1:11" x14ac:dyDescent="0.3">
      <c r="A2" s="4" t="s">
        <v>60</v>
      </c>
      <c r="B2" s="5">
        <v>46093</v>
      </c>
      <c r="C2" s="4" t="s">
        <v>20</v>
      </c>
      <c r="D2" s="4" t="s">
        <v>51</v>
      </c>
      <c r="E2" s="4">
        <v>63</v>
      </c>
      <c r="F2" s="4" t="s">
        <v>12</v>
      </c>
      <c r="G2" s="4" t="s">
        <v>89</v>
      </c>
      <c r="H2" s="4" t="s">
        <v>23</v>
      </c>
      <c r="I2" s="1">
        <v>20000</v>
      </c>
      <c r="J2" s="1">
        <v>20000</v>
      </c>
      <c r="K2" s="1" t="str">
        <f>IF(I2&gt;J2, "Above", IF(I2&lt;J2, "Below", "Met"))</f>
        <v>Met</v>
      </c>
    </row>
    <row r="3" spans="1:11" x14ac:dyDescent="0.3">
      <c r="A3" s="4" t="s">
        <v>70</v>
      </c>
      <c r="B3" s="5">
        <v>46086</v>
      </c>
      <c r="C3" s="4" t="s">
        <v>10</v>
      </c>
      <c r="D3" s="4" t="s">
        <v>71</v>
      </c>
      <c r="E3" s="4">
        <v>93</v>
      </c>
      <c r="F3" s="4" t="s">
        <v>12</v>
      </c>
      <c r="G3" s="4" t="s">
        <v>89</v>
      </c>
      <c r="H3" s="4" t="s">
        <v>14</v>
      </c>
      <c r="I3" s="1">
        <v>15000</v>
      </c>
      <c r="J3" s="1">
        <v>16000</v>
      </c>
      <c r="K3" s="1" t="str">
        <f t="shared" ref="K3:K51" si="0">IF(I3&gt;J3, "Above", IF(I3&lt;J3, "Below", "Met"))</f>
        <v>Below</v>
      </c>
    </row>
    <row r="4" spans="1:11" x14ac:dyDescent="0.3">
      <c r="A4" s="4" t="s">
        <v>39</v>
      </c>
      <c r="B4" s="5">
        <v>46099</v>
      </c>
      <c r="C4" s="4" t="s">
        <v>16</v>
      </c>
      <c r="D4" s="4" t="s">
        <v>38</v>
      </c>
      <c r="E4" s="4">
        <v>74</v>
      </c>
      <c r="F4" s="4" t="s">
        <v>21</v>
      </c>
      <c r="G4" s="4" t="s">
        <v>89</v>
      </c>
      <c r="H4" s="4" t="s">
        <v>14</v>
      </c>
      <c r="I4" s="1">
        <v>25000</v>
      </c>
      <c r="J4" s="1">
        <v>25000</v>
      </c>
      <c r="K4" s="1" t="str">
        <f t="shared" si="0"/>
        <v>Met</v>
      </c>
    </row>
    <row r="5" spans="1:11" x14ac:dyDescent="0.3">
      <c r="A5" s="4" t="s">
        <v>65</v>
      </c>
      <c r="B5" s="5">
        <v>46081</v>
      </c>
      <c r="C5" s="4" t="s">
        <v>43</v>
      </c>
      <c r="D5" s="4" t="s">
        <v>63</v>
      </c>
      <c r="E5" s="4">
        <v>64</v>
      </c>
      <c r="F5" s="4" t="s">
        <v>17</v>
      </c>
      <c r="G5" s="4" t="s">
        <v>13</v>
      </c>
      <c r="H5" s="4" t="s">
        <v>23</v>
      </c>
      <c r="I5" s="1">
        <v>30000</v>
      </c>
      <c r="J5" s="1">
        <v>28000</v>
      </c>
      <c r="K5" s="1" t="str">
        <f t="shared" si="0"/>
        <v>Above</v>
      </c>
    </row>
    <row r="6" spans="1:11" x14ac:dyDescent="0.3">
      <c r="A6" s="4" t="s">
        <v>64</v>
      </c>
      <c r="B6" s="5">
        <v>46103</v>
      </c>
      <c r="C6" s="4" t="s">
        <v>43</v>
      </c>
      <c r="D6" s="4" t="s">
        <v>63</v>
      </c>
      <c r="E6" s="4">
        <v>64</v>
      </c>
      <c r="F6" s="4" t="s">
        <v>21</v>
      </c>
      <c r="G6" s="4" t="s">
        <v>13</v>
      </c>
      <c r="H6" s="4" t="s">
        <v>23</v>
      </c>
      <c r="I6" s="1">
        <v>28000</v>
      </c>
      <c r="J6" s="1">
        <v>30000</v>
      </c>
      <c r="K6" s="1" t="str">
        <f t="shared" si="0"/>
        <v>Below</v>
      </c>
    </row>
    <row r="7" spans="1:11" x14ac:dyDescent="0.3">
      <c r="A7" s="4" t="s">
        <v>9</v>
      </c>
      <c r="B7" s="5">
        <v>46090</v>
      </c>
      <c r="C7" s="4" t="s">
        <v>10</v>
      </c>
      <c r="D7" s="4" t="s">
        <v>11</v>
      </c>
      <c r="E7" s="4">
        <v>62</v>
      </c>
      <c r="F7" s="4" t="s">
        <v>12</v>
      </c>
      <c r="G7" s="4" t="s">
        <v>13</v>
      </c>
      <c r="H7" s="4" t="s">
        <v>14</v>
      </c>
      <c r="I7" s="1">
        <v>16000</v>
      </c>
      <c r="J7" s="1">
        <v>15000</v>
      </c>
      <c r="K7" s="1" t="str">
        <f t="shared" si="0"/>
        <v>Above</v>
      </c>
    </row>
    <row r="8" spans="1:11" x14ac:dyDescent="0.3">
      <c r="A8" s="4" t="s">
        <v>31</v>
      </c>
      <c r="B8" s="5">
        <v>46078</v>
      </c>
      <c r="C8" s="4" t="s">
        <v>10</v>
      </c>
      <c r="D8" s="4" t="s">
        <v>11</v>
      </c>
      <c r="E8" s="4">
        <v>55</v>
      </c>
      <c r="F8" s="4" t="s">
        <v>17</v>
      </c>
      <c r="G8" s="4" t="s">
        <v>13</v>
      </c>
      <c r="H8" s="4" t="s">
        <v>14</v>
      </c>
      <c r="I8" s="1">
        <v>17000</v>
      </c>
      <c r="J8" s="1">
        <v>18000</v>
      </c>
      <c r="K8" s="1" t="str">
        <f t="shared" si="0"/>
        <v>Below</v>
      </c>
    </row>
    <row r="9" spans="1:11" x14ac:dyDescent="0.3">
      <c r="A9" s="4" t="s">
        <v>35</v>
      </c>
      <c r="B9" s="5">
        <v>46096</v>
      </c>
      <c r="C9" s="4" t="s">
        <v>33</v>
      </c>
      <c r="D9" s="4" t="s">
        <v>11</v>
      </c>
      <c r="E9" s="4">
        <v>73</v>
      </c>
      <c r="F9" s="4" t="s">
        <v>12</v>
      </c>
      <c r="G9" s="4" t="s">
        <v>13</v>
      </c>
      <c r="H9" s="4" t="s">
        <v>14</v>
      </c>
      <c r="I9" s="1">
        <v>20000</v>
      </c>
      <c r="J9" s="1">
        <v>22000</v>
      </c>
      <c r="K9" s="1" t="str">
        <f t="shared" si="0"/>
        <v>Below</v>
      </c>
    </row>
    <row r="10" spans="1:11" x14ac:dyDescent="0.3">
      <c r="A10" s="4" t="s">
        <v>59</v>
      </c>
      <c r="B10" s="5">
        <v>46101</v>
      </c>
      <c r="C10" s="4" t="s">
        <v>16</v>
      </c>
      <c r="D10" s="4" t="s">
        <v>51</v>
      </c>
      <c r="E10" s="4">
        <v>83</v>
      </c>
      <c r="F10" s="4" t="s">
        <v>12</v>
      </c>
      <c r="G10" s="4" t="s">
        <v>89</v>
      </c>
      <c r="H10" s="4" t="s">
        <v>14</v>
      </c>
      <c r="I10" s="1">
        <v>26000</v>
      </c>
      <c r="J10" s="1">
        <v>26000</v>
      </c>
      <c r="K10" s="1" t="str">
        <f t="shared" si="0"/>
        <v>Met</v>
      </c>
    </row>
    <row r="11" spans="1:11" x14ac:dyDescent="0.3">
      <c r="A11" s="4" t="s">
        <v>42</v>
      </c>
      <c r="B11" s="5">
        <v>46083</v>
      </c>
      <c r="C11" s="4" t="s">
        <v>43</v>
      </c>
      <c r="D11" s="4" t="s">
        <v>38</v>
      </c>
      <c r="E11" s="4">
        <v>54</v>
      </c>
      <c r="F11" s="4" t="s">
        <v>17</v>
      </c>
      <c r="G11" s="4" t="s">
        <v>13</v>
      </c>
      <c r="H11" s="4" t="s">
        <v>23</v>
      </c>
      <c r="I11" s="1">
        <v>29000</v>
      </c>
      <c r="J11" s="1">
        <v>27000</v>
      </c>
      <c r="K11" s="1" t="str">
        <f t="shared" si="0"/>
        <v>Above</v>
      </c>
    </row>
    <row r="12" spans="1:11" x14ac:dyDescent="0.3">
      <c r="A12" s="4" t="s">
        <v>37</v>
      </c>
      <c r="B12" s="5">
        <v>46105</v>
      </c>
      <c r="C12" s="4" t="s">
        <v>33</v>
      </c>
      <c r="D12" s="4" t="s">
        <v>38</v>
      </c>
      <c r="E12" s="4">
        <v>77</v>
      </c>
      <c r="F12" s="4" t="s">
        <v>12</v>
      </c>
      <c r="G12" s="4" t="s">
        <v>13</v>
      </c>
      <c r="H12" s="4" t="s">
        <v>14</v>
      </c>
      <c r="I12" s="1">
        <v>18000</v>
      </c>
      <c r="J12" s="1">
        <v>17000</v>
      </c>
      <c r="K12" s="1" t="str">
        <f t="shared" si="0"/>
        <v>Above</v>
      </c>
    </row>
    <row r="13" spans="1:11" x14ac:dyDescent="0.3">
      <c r="A13" s="4" t="s">
        <v>75</v>
      </c>
      <c r="B13" s="5">
        <v>46088</v>
      </c>
      <c r="C13" s="4" t="s">
        <v>20</v>
      </c>
      <c r="D13" s="4" t="s">
        <v>71</v>
      </c>
      <c r="E13" s="4">
        <v>77</v>
      </c>
      <c r="F13" s="4" t="s">
        <v>21</v>
      </c>
      <c r="G13" s="4" t="s">
        <v>89</v>
      </c>
      <c r="H13" s="4" t="s">
        <v>23</v>
      </c>
      <c r="I13" s="1">
        <v>30000</v>
      </c>
      <c r="J13" s="1">
        <v>30000</v>
      </c>
      <c r="K13" s="1" t="str">
        <f t="shared" si="0"/>
        <v>Met</v>
      </c>
    </row>
    <row r="14" spans="1:11" x14ac:dyDescent="0.3">
      <c r="A14" s="4" t="s">
        <v>56</v>
      </c>
      <c r="B14" s="5">
        <v>46095</v>
      </c>
      <c r="C14" s="4" t="s">
        <v>46</v>
      </c>
      <c r="D14" s="4" t="s">
        <v>51</v>
      </c>
      <c r="E14" s="4">
        <v>73</v>
      </c>
      <c r="F14" s="4" t="s">
        <v>12</v>
      </c>
      <c r="G14" s="4" t="s">
        <v>90</v>
      </c>
      <c r="H14" s="4" t="s">
        <v>26</v>
      </c>
      <c r="I14" s="1">
        <v>23000</v>
      </c>
      <c r="J14" s="1">
        <v>25000</v>
      </c>
      <c r="K14" s="1" t="str">
        <f t="shared" si="0"/>
        <v>Below</v>
      </c>
    </row>
    <row r="15" spans="1:11" x14ac:dyDescent="0.3">
      <c r="A15" s="4" t="s">
        <v>74</v>
      </c>
      <c r="B15" s="5">
        <v>46082</v>
      </c>
      <c r="C15" s="4" t="s">
        <v>20</v>
      </c>
      <c r="D15" s="4" t="s">
        <v>71</v>
      </c>
      <c r="E15" s="4">
        <v>81</v>
      </c>
      <c r="F15" s="4" t="s">
        <v>21</v>
      </c>
      <c r="G15" s="4" t="s">
        <v>89</v>
      </c>
      <c r="H15" s="4" t="s">
        <v>23</v>
      </c>
      <c r="I15" s="1">
        <v>28000</v>
      </c>
      <c r="J15" s="1">
        <v>30000</v>
      </c>
      <c r="K15" s="1" t="str">
        <f t="shared" si="0"/>
        <v>Below</v>
      </c>
    </row>
    <row r="16" spans="1:11" x14ac:dyDescent="0.3">
      <c r="A16" s="4" t="s">
        <v>52</v>
      </c>
      <c r="B16" s="5">
        <v>46098</v>
      </c>
      <c r="C16" s="4" t="s">
        <v>43</v>
      </c>
      <c r="D16" s="4" t="s">
        <v>51</v>
      </c>
      <c r="E16" s="4">
        <v>72</v>
      </c>
      <c r="F16" s="4" t="s">
        <v>17</v>
      </c>
      <c r="G16" s="4" t="s">
        <v>13</v>
      </c>
      <c r="H16" s="4" t="s">
        <v>23</v>
      </c>
      <c r="I16" s="1">
        <v>27000</v>
      </c>
      <c r="J16" s="1">
        <v>29000</v>
      </c>
      <c r="K16" s="1" t="str">
        <f t="shared" si="0"/>
        <v>Below</v>
      </c>
    </row>
    <row r="17" spans="1:11" x14ac:dyDescent="0.3">
      <c r="A17" s="4" t="s">
        <v>57</v>
      </c>
      <c r="B17" s="5">
        <v>46092</v>
      </c>
      <c r="C17" s="4" t="s">
        <v>46</v>
      </c>
      <c r="D17" s="4" t="s">
        <v>51</v>
      </c>
      <c r="E17" s="4">
        <v>53</v>
      </c>
      <c r="F17" s="4" t="s">
        <v>17</v>
      </c>
      <c r="G17" s="4" t="s">
        <v>90</v>
      </c>
      <c r="H17" s="4" t="s">
        <v>26</v>
      </c>
      <c r="I17" s="1">
        <v>25000</v>
      </c>
      <c r="J17" s="1">
        <v>23000</v>
      </c>
      <c r="K17" s="1" t="str">
        <f t="shared" si="0"/>
        <v>Above</v>
      </c>
    </row>
    <row r="18" spans="1:11" x14ac:dyDescent="0.3">
      <c r="A18" s="4" t="s">
        <v>40</v>
      </c>
      <c r="B18" s="5">
        <v>46080</v>
      </c>
      <c r="C18" s="4" t="s">
        <v>10</v>
      </c>
      <c r="D18" s="4" t="s">
        <v>38</v>
      </c>
      <c r="E18" s="4">
        <v>69</v>
      </c>
      <c r="F18" s="4" t="s">
        <v>12</v>
      </c>
      <c r="G18" s="4" t="s">
        <v>90</v>
      </c>
      <c r="H18" s="4" t="s">
        <v>14</v>
      </c>
      <c r="I18" s="1">
        <v>15000</v>
      </c>
      <c r="J18" s="1">
        <v>15000</v>
      </c>
      <c r="K18" s="1" t="str">
        <f t="shared" si="0"/>
        <v>Met</v>
      </c>
    </row>
    <row r="19" spans="1:11" x14ac:dyDescent="0.3">
      <c r="A19" s="4" t="s">
        <v>72</v>
      </c>
      <c r="B19" s="5">
        <v>46102</v>
      </c>
      <c r="C19" s="4" t="s">
        <v>16</v>
      </c>
      <c r="D19" s="4" t="s">
        <v>71</v>
      </c>
      <c r="E19" s="4">
        <v>83</v>
      </c>
      <c r="F19" s="4" t="s">
        <v>17</v>
      </c>
      <c r="G19" s="4" t="s">
        <v>89</v>
      </c>
      <c r="H19" s="4" t="s">
        <v>14</v>
      </c>
      <c r="I19" s="1">
        <v>24000</v>
      </c>
      <c r="J19" s="1">
        <v>26000</v>
      </c>
      <c r="K19" s="1" t="str">
        <f t="shared" si="0"/>
        <v>Below</v>
      </c>
    </row>
    <row r="20" spans="1:11" x14ac:dyDescent="0.3">
      <c r="A20" s="4" t="s">
        <v>48</v>
      </c>
      <c r="B20" s="5">
        <v>46085</v>
      </c>
      <c r="C20" s="4" t="s">
        <v>46</v>
      </c>
      <c r="D20" s="4" t="s">
        <v>38</v>
      </c>
      <c r="E20" s="4">
        <v>59</v>
      </c>
      <c r="F20" s="4" t="s">
        <v>17</v>
      </c>
      <c r="G20" s="4" t="s">
        <v>90</v>
      </c>
      <c r="H20" s="4" t="s">
        <v>26</v>
      </c>
      <c r="I20" s="1">
        <v>22000</v>
      </c>
      <c r="J20" s="1">
        <v>22000</v>
      </c>
      <c r="K20" s="1" t="str">
        <f t="shared" si="0"/>
        <v>Met</v>
      </c>
    </row>
    <row r="21" spans="1:11" x14ac:dyDescent="0.3">
      <c r="A21" s="4" t="s">
        <v>77</v>
      </c>
      <c r="B21" s="5">
        <v>46100</v>
      </c>
      <c r="C21" s="4" t="s">
        <v>16</v>
      </c>
      <c r="D21" s="4" t="s">
        <v>78</v>
      </c>
      <c r="E21" s="4">
        <v>83</v>
      </c>
      <c r="F21" s="4" t="s">
        <v>21</v>
      </c>
      <c r="G21" s="4" t="s">
        <v>89</v>
      </c>
      <c r="H21" s="4" t="s">
        <v>14</v>
      </c>
      <c r="I21" s="1">
        <v>26000</v>
      </c>
      <c r="J21" s="1">
        <v>24000</v>
      </c>
      <c r="K21" s="1" t="str">
        <f t="shared" si="0"/>
        <v>Above</v>
      </c>
    </row>
    <row r="22" spans="1:11" x14ac:dyDescent="0.3">
      <c r="A22" s="4" t="s">
        <v>66</v>
      </c>
      <c r="B22" s="5">
        <v>46104</v>
      </c>
      <c r="C22" s="4" t="s">
        <v>10</v>
      </c>
      <c r="D22" s="4" t="s">
        <v>63</v>
      </c>
      <c r="E22" s="4">
        <v>86</v>
      </c>
      <c r="F22" s="4" t="s">
        <v>21</v>
      </c>
      <c r="G22" s="4" t="s">
        <v>89</v>
      </c>
      <c r="H22" s="4" t="s">
        <v>14</v>
      </c>
      <c r="I22" s="1">
        <v>16000</v>
      </c>
      <c r="J22" s="1">
        <v>17000</v>
      </c>
      <c r="K22" s="1" t="str">
        <f t="shared" si="0"/>
        <v>Below</v>
      </c>
    </row>
    <row r="23" spans="1:11" x14ac:dyDescent="0.3">
      <c r="A23" s="4" t="s">
        <v>27</v>
      </c>
      <c r="B23" s="5">
        <v>46089</v>
      </c>
      <c r="C23" s="4" t="s">
        <v>10</v>
      </c>
      <c r="D23" s="4" t="s">
        <v>11</v>
      </c>
      <c r="E23" s="4">
        <v>66</v>
      </c>
      <c r="F23" s="4" t="s">
        <v>17</v>
      </c>
      <c r="G23" s="4" t="s">
        <v>89</v>
      </c>
      <c r="H23" s="4" t="s">
        <v>14</v>
      </c>
      <c r="I23" s="1">
        <v>18000</v>
      </c>
      <c r="J23" s="1">
        <v>19000</v>
      </c>
      <c r="K23" s="1" t="str">
        <f t="shared" si="0"/>
        <v>Below</v>
      </c>
    </row>
    <row r="24" spans="1:11" x14ac:dyDescent="0.3">
      <c r="A24" s="4" t="s">
        <v>19</v>
      </c>
      <c r="B24" s="5">
        <v>46094</v>
      </c>
      <c r="C24" s="4" t="s">
        <v>20</v>
      </c>
      <c r="D24" s="4" t="s">
        <v>11</v>
      </c>
      <c r="E24" s="4">
        <v>49</v>
      </c>
      <c r="F24" s="4" t="s">
        <v>17</v>
      </c>
      <c r="G24" s="4" t="s">
        <v>89</v>
      </c>
      <c r="H24" s="4" t="s">
        <v>23</v>
      </c>
      <c r="I24" s="1">
        <v>30000</v>
      </c>
      <c r="J24" s="1">
        <v>28000</v>
      </c>
      <c r="K24" s="1" t="str">
        <f t="shared" si="0"/>
        <v>Above</v>
      </c>
    </row>
    <row r="25" spans="1:11" x14ac:dyDescent="0.3">
      <c r="A25" s="4" t="s">
        <v>69</v>
      </c>
      <c r="B25" s="5">
        <v>46079</v>
      </c>
      <c r="C25" s="4" t="s">
        <v>25</v>
      </c>
      <c r="D25" s="4" t="s">
        <v>63</v>
      </c>
      <c r="E25" s="4">
        <v>71</v>
      </c>
      <c r="F25" s="4" t="s">
        <v>12</v>
      </c>
      <c r="G25" s="4" t="s">
        <v>91</v>
      </c>
      <c r="H25" s="4" t="s">
        <v>26</v>
      </c>
      <c r="I25" s="1">
        <v>21000</v>
      </c>
      <c r="J25" s="1">
        <v>21000</v>
      </c>
      <c r="K25" s="1" t="str">
        <f t="shared" si="0"/>
        <v>Met</v>
      </c>
    </row>
    <row r="26" spans="1:11" x14ac:dyDescent="0.3">
      <c r="A26" s="4" t="s">
        <v>15</v>
      </c>
      <c r="B26" s="5">
        <v>46097</v>
      </c>
      <c r="C26" s="4" t="s">
        <v>16</v>
      </c>
      <c r="D26" s="4" t="s">
        <v>11</v>
      </c>
      <c r="E26" s="4">
        <v>65</v>
      </c>
      <c r="F26" s="4" t="s">
        <v>17</v>
      </c>
      <c r="G26" s="4" t="s">
        <v>89</v>
      </c>
      <c r="H26" s="4" t="s">
        <v>14</v>
      </c>
      <c r="I26" s="1">
        <v>25000</v>
      </c>
      <c r="J26" s="1">
        <v>27000</v>
      </c>
      <c r="K26" s="1" t="str">
        <f t="shared" si="0"/>
        <v>Below</v>
      </c>
    </row>
    <row r="27" spans="1:11" x14ac:dyDescent="0.3">
      <c r="A27" s="4" t="s">
        <v>32</v>
      </c>
      <c r="B27" s="5">
        <v>46091</v>
      </c>
      <c r="C27" s="4" t="s">
        <v>33</v>
      </c>
      <c r="D27" s="4" t="s">
        <v>11</v>
      </c>
      <c r="E27" s="4">
        <v>73</v>
      </c>
      <c r="F27" s="4" t="s">
        <v>17</v>
      </c>
      <c r="G27" s="4" t="s">
        <v>89</v>
      </c>
      <c r="H27" s="4" t="s">
        <v>14</v>
      </c>
      <c r="I27" s="1">
        <v>19000</v>
      </c>
      <c r="J27" s="1">
        <v>18000</v>
      </c>
      <c r="K27" s="1" t="str">
        <f t="shared" si="0"/>
        <v>Above</v>
      </c>
    </row>
    <row r="28" spans="1:11" x14ac:dyDescent="0.3">
      <c r="A28" s="4" t="s">
        <v>73</v>
      </c>
      <c r="B28" s="5">
        <v>46106</v>
      </c>
      <c r="C28" s="4" t="s">
        <v>43</v>
      </c>
      <c r="D28" s="4" t="s">
        <v>71</v>
      </c>
      <c r="E28" s="4">
        <v>72</v>
      </c>
      <c r="F28" s="4" t="s">
        <v>21</v>
      </c>
      <c r="G28" s="4" t="s">
        <v>13</v>
      </c>
      <c r="H28" s="4" t="s">
        <v>23</v>
      </c>
      <c r="I28" s="1">
        <v>28000</v>
      </c>
      <c r="J28" s="1">
        <v>26000</v>
      </c>
      <c r="K28" s="1" t="str">
        <f t="shared" si="0"/>
        <v>Above</v>
      </c>
    </row>
    <row r="29" spans="1:11" x14ac:dyDescent="0.3">
      <c r="A29" s="4" t="s">
        <v>41</v>
      </c>
      <c r="B29" s="5">
        <v>46084</v>
      </c>
      <c r="C29" s="4" t="s">
        <v>20</v>
      </c>
      <c r="D29" s="4" t="s">
        <v>38</v>
      </c>
      <c r="E29" s="4">
        <v>60</v>
      </c>
      <c r="F29" s="4" t="s">
        <v>17</v>
      </c>
      <c r="G29" s="4" t="s">
        <v>89</v>
      </c>
      <c r="H29" s="4" t="s">
        <v>23</v>
      </c>
      <c r="I29" s="1">
        <v>30000</v>
      </c>
      <c r="J29" s="1">
        <v>30000</v>
      </c>
      <c r="K29" s="1" t="str">
        <f t="shared" si="0"/>
        <v>Met</v>
      </c>
    </row>
    <row r="30" spans="1:11" x14ac:dyDescent="0.3">
      <c r="A30" s="4" t="s">
        <v>54</v>
      </c>
      <c r="B30" s="5">
        <v>46081</v>
      </c>
      <c r="C30" s="4" t="s">
        <v>25</v>
      </c>
      <c r="D30" s="4" t="s">
        <v>51</v>
      </c>
      <c r="E30" s="4">
        <v>80</v>
      </c>
      <c r="F30" s="4" t="s">
        <v>21</v>
      </c>
      <c r="G30" s="4" t="s">
        <v>91</v>
      </c>
      <c r="H30" s="4" t="s">
        <v>26</v>
      </c>
      <c r="I30" s="1">
        <v>21000</v>
      </c>
      <c r="J30" s="1">
        <v>23000</v>
      </c>
      <c r="K30" s="1" t="str">
        <f t="shared" si="0"/>
        <v>Below</v>
      </c>
    </row>
    <row r="31" spans="1:11" x14ac:dyDescent="0.3">
      <c r="A31" s="4" t="s">
        <v>79</v>
      </c>
      <c r="B31" s="5">
        <v>46087</v>
      </c>
      <c r="C31" s="4" t="s">
        <v>43</v>
      </c>
      <c r="D31" s="4" t="s">
        <v>78</v>
      </c>
      <c r="E31" s="4">
        <v>90</v>
      </c>
      <c r="F31" s="4" t="s">
        <v>12</v>
      </c>
      <c r="G31" s="4" t="s">
        <v>13</v>
      </c>
      <c r="H31" s="4" t="s">
        <v>23</v>
      </c>
      <c r="I31" s="1">
        <v>27000</v>
      </c>
      <c r="J31" s="1">
        <v>29000</v>
      </c>
      <c r="K31" s="1" t="str">
        <f t="shared" si="0"/>
        <v>Below</v>
      </c>
    </row>
    <row r="32" spans="1:11" x14ac:dyDescent="0.3">
      <c r="A32" s="4" t="s">
        <v>47</v>
      </c>
      <c r="B32" s="5">
        <v>46099</v>
      </c>
      <c r="C32" s="4" t="s">
        <v>25</v>
      </c>
      <c r="D32" s="4" t="s">
        <v>38</v>
      </c>
      <c r="E32" s="4">
        <v>68</v>
      </c>
      <c r="F32" s="4" t="s">
        <v>17</v>
      </c>
      <c r="G32" s="4" t="s">
        <v>91</v>
      </c>
      <c r="H32" s="4" t="s">
        <v>26</v>
      </c>
      <c r="I32" s="1">
        <v>23000</v>
      </c>
      <c r="J32" s="1">
        <v>21000</v>
      </c>
      <c r="K32" s="1" t="str">
        <f t="shared" si="0"/>
        <v>Above</v>
      </c>
    </row>
    <row r="33" spans="1:11" x14ac:dyDescent="0.3">
      <c r="A33" s="4" t="s">
        <v>80</v>
      </c>
      <c r="B33" s="5">
        <v>46101</v>
      </c>
      <c r="C33" s="4" t="s">
        <v>43</v>
      </c>
      <c r="D33" s="4" t="s">
        <v>78</v>
      </c>
      <c r="E33" s="4">
        <v>90</v>
      </c>
      <c r="F33" s="4" t="s">
        <v>21</v>
      </c>
      <c r="G33" s="4" t="s">
        <v>13</v>
      </c>
      <c r="H33" s="4" t="s">
        <v>23</v>
      </c>
      <c r="I33" s="1">
        <v>29000</v>
      </c>
      <c r="J33" s="1">
        <v>27000</v>
      </c>
      <c r="K33" s="1" t="str">
        <f t="shared" si="0"/>
        <v>Above</v>
      </c>
    </row>
    <row r="34" spans="1:11" x14ac:dyDescent="0.3">
      <c r="A34" s="4" t="s">
        <v>82</v>
      </c>
      <c r="B34" s="5">
        <v>46082</v>
      </c>
      <c r="C34" s="4" t="s">
        <v>20</v>
      </c>
      <c r="D34" s="4" t="s">
        <v>78</v>
      </c>
      <c r="E34" s="4">
        <v>93</v>
      </c>
      <c r="F34" s="4" t="s">
        <v>21</v>
      </c>
      <c r="G34" s="4" t="s">
        <v>89</v>
      </c>
      <c r="H34" s="4" t="s">
        <v>23</v>
      </c>
      <c r="I34" s="1">
        <v>28000</v>
      </c>
      <c r="J34" s="1">
        <v>28000</v>
      </c>
      <c r="K34" s="1" t="str">
        <f t="shared" si="0"/>
        <v>Met</v>
      </c>
    </row>
    <row r="35" spans="1:11" x14ac:dyDescent="0.3">
      <c r="A35" s="4" t="s">
        <v>58</v>
      </c>
      <c r="B35" s="5">
        <v>46095</v>
      </c>
      <c r="C35" s="4" t="s">
        <v>16</v>
      </c>
      <c r="D35" s="4" t="s">
        <v>51</v>
      </c>
      <c r="E35" s="4">
        <v>74</v>
      </c>
      <c r="F35" s="4" t="s">
        <v>12</v>
      </c>
      <c r="G35" s="4" t="s">
        <v>89</v>
      </c>
      <c r="H35" s="4" t="s">
        <v>14</v>
      </c>
      <c r="I35" s="1">
        <v>24000</v>
      </c>
      <c r="J35" s="1">
        <v>25000</v>
      </c>
      <c r="K35" s="1" t="str">
        <f t="shared" si="0"/>
        <v>Below</v>
      </c>
    </row>
    <row r="36" spans="1:11" x14ac:dyDescent="0.3">
      <c r="A36" s="4" t="s">
        <v>24</v>
      </c>
      <c r="B36" s="5">
        <v>46103</v>
      </c>
      <c r="C36" s="4" t="s">
        <v>25</v>
      </c>
      <c r="D36" s="4" t="s">
        <v>11</v>
      </c>
      <c r="E36" s="4">
        <v>66</v>
      </c>
      <c r="F36" s="4" t="s">
        <v>12</v>
      </c>
      <c r="G36" s="4" t="s">
        <v>91</v>
      </c>
      <c r="H36" s="4" t="s">
        <v>26</v>
      </c>
      <c r="I36" s="1">
        <v>22000</v>
      </c>
      <c r="J36" s="1">
        <v>24000</v>
      </c>
      <c r="K36" s="1" t="str">
        <f t="shared" si="0"/>
        <v>Below</v>
      </c>
    </row>
    <row r="37" spans="1:11" x14ac:dyDescent="0.3">
      <c r="A37" s="4" t="s">
        <v>53</v>
      </c>
      <c r="B37" s="5">
        <v>46090</v>
      </c>
      <c r="C37" s="4" t="s">
        <v>46</v>
      </c>
      <c r="D37" s="4" t="s">
        <v>51</v>
      </c>
      <c r="E37" s="4">
        <v>65</v>
      </c>
      <c r="F37" s="4" t="s">
        <v>12</v>
      </c>
      <c r="G37" s="4" t="s">
        <v>90</v>
      </c>
      <c r="H37" s="4" t="s">
        <v>26</v>
      </c>
      <c r="I37" s="1">
        <v>26000</v>
      </c>
      <c r="J37" s="1">
        <v>26000</v>
      </c>
      <c r="K37" s="1" t="str">
        <f t="shared" si="0"/>
        <v>Met</v>
      </c>
    </row>
    <row r="38" spans="1:11" x14ac:dyDescent="0.3">
      <c r="A38" s="4" t="s">
        <v>50</v>
      </c>
      <c r="B38" s="5">
        <v>46083</v>
      </c>
      <c r="C38" s="4" t="s">
        <v>25</v>
      </c>
      <c r="D38" s="4" t="s">
        <v>51</v>
      </c>
      <c r="E38" s="4">
        <v>76</v>
      </c>
      <c r="F38" s="4" t="s">
        <v>17</v>
      </c>
      <c r="G38" s="4" t="s">
        <v>91</v>
      </c>
      <c r="H38" s="4" t="s">
        <v>26</v>
      </c>
      <c r="I38" s="1">
        <v>21000</v>
      </c>
      <c r="J38" s="1">
        <v>19000</v>
      </c>
      <c r="K38" s="1" t="str">
        <f t="shared" si="0"/>
        <v>Above</v>
      </c>
    </row>
    <row r="39" spans="1:11" x14ac:dyDescent="0.3">
      <c r="A39" s="4" t="s">
        <v>62</v>
      </c>
      <c r="B39" s="5">
        <v>46105</v>
      </c>
      <c r="C39" s="4" t="s">
        <v>25</v>
      </c>
      <c r="D39" s="4" t="s">
        <v>63</v>
      </c>
      <c r="E39" s="4">
        <v>76</v>
      </c>
      <c r="F39" s="4" t="s">
        <v>21</v>
      </c>
      <c r="G39" s="4" t="s">
        <v>91</v>
      </c>
      <c r="H39" s="4" t="s">
        <v>26</v>
      </c>
      <c r="I39" s="1">
        <v>23000</v>
      </c>
      <c r="J39" s="1">
        <v>25000</v>
      </c>
      <c r="K39" s="1" t="str">
        <f t="shared" si="0"/>
        <v>Below</v>
      </c>
    </row>
    <row r="40" spans="1:11" x14ac:dyDescent="0.3">
      <c r="A40" s="4" t="s">
        <v>44</v>
      </c>
      <c r="B40" s="5">
        <v>46088</v>
      </c>
      <c r="C40" s="4" t="s">
        <v>43</v>
      </c>
      <c r="D40" s="4" t="s">
        <v>38</v>
      </c>
      <c r="E40" s="4">
        <v>56</v>
      </c>
      <c r="F40" s="4" t="s">
        <v>17</v>
      </c>
      <c r="G40" s="4" t="s">
        <v>13</v>
      </c>
      <c r="H40" s="4" t="s">
        <v>23</v>
      </c>
      <c r="I40" s="1">
        <v>29000</v>
      </c>
      <c r="J40" s="1">
        <v>31000</v>
      </c>
      <c r="K40" s="1" t="str">
        <f t="shared" si="0"/>
        <v>Below</v>
      </c>
    </row>
    <row r="41" spans="1:11" x14ac:dyDescent="0.3">
      <c r="A41" s="4" t="s">
        <v>76</v>
      </c>
      <c r="B41" s="5">
        <v>46080</v>
      </c>
      <c r="C41" s="4" t="s">
        <v>46</v>
      </c>
      <c r="D41" s="4" t="s">
        <v>71</v>
      </c>
      <c r="E41" s="4">
        <v>76</v>
      </c>
      <c r="F41" s="4" t="s">
        <v>12</v>
      </c>
      <c r="G41" s="4" t="s">
        <v>90</v>
      </c>
      <c r="H41" s="4" t="s">
        <v>26</v>
      </c>
      <c r="I41" s="1">
        <v>25000</v>
      </c>
      <c r="J41" s="1">
        <v>23000</v>
      </c>
      <c r="K41" s="1" t="str">
        <f t="shared" si="0"/>
        <v>Above</v>
      </c>
    </row>
    <row r="42" spans="1:11" x14ac:dyDescent="0.3">
      <c r="A42" s="4" t="s">
        <v>61</v>
      </c>
      <c r="B42" s="5">
        <v>46096</v>
      </c>
      <c r="C42" s="4" t="s">
        <v>25</v>
      </c>
      <c r="D42" s="4" t="s">
        <v>51</v>
      </c>
      <c r="E42" s="4">
        <v>71</v>
      </c>
      <c r="F42" s="4" t="s">
        <v>17</v>
      </c>
      <c r="G42" s="4" t="s">
        <v>91</v>
      </c>
      <c r="H42" s="4" t="s">
        <v>26</v>
      </c>
      <c r="I42" s="1">
        <v>20000</v>
      </c>
      <c r="J42" s="1">
        <v>22000</v>
      </c>
      <c r="K42" s="1" t="str">
        <f t="shared" si="0"/>
        <v>Below</v>
      </c>
    </row>
    <row r="43" spans="1:11" x14ac:dyDescent="0.3">
      <c r="A43" s="4" t="s">
        <v>36</v>
      </c>
      <c r="B43" s="5">
        <v>46092</v>
      </c>
      <c r="C43" s="4" t="s">
        <v>20</v>
      </c>
      <c r="D43" s="4" t="s">
        <v>11</v>
      </c>
      <c r="E43" s="4">
        <v>56</v>
      </c>
      <c r="F43" s="4" t="s">
        <v>17</v>
      </c>
      <c r="G43" s="4" t="s">
        <v>89</v>
      </c>
      <c r="H43" s="4" t="s">
        <v>23</v>
      </c>
      <c r="I43" s="1">
        <v>30000</v>
      </c>
      <c r="J43" s="1">
        <v>30000</v>
      </c>
      <c r="K43" s="1" t="str">
        <f t="shared" si="0"/>
        <v>Met</v>
      </c>
    </row>
    <row r="44" spans="1:11" x14ac:dyDescent="0.3">
      <c r="A44" s="4" t="s">
        <v>68</v>
      </c>
      <c r="B44" s="5">
        <v>46078</v>
      </c>
      <c r="C44" s="4" t="s">
        <v>46</v>
      </c>
      <c r="D44" s="4" t="s">
        <v>63</v>
      </c>
      <c r="E44" s="4">
        <v>73</v>
      </c>
      <c r="F44" s="4" t="s">
        <v>12</v>
      </c>
      <c r="G44" s="4" t="s">
        <v>90</v>
      </c>
      <c r="H44" s="4" t="s">
        <v>26</v>
      </c>
      <c r="I44" s="1">
        <v>24000</v>
      </c>
      <c r="J44" s="1">
        <v>22000</v>
      </c>
      <c r="K44" s="1" t="str">
        <f t="shared" si="0"/>
        <v>Above</v>
      </c>
    </row>
    <row r="45" spans="1:11" x14ac:dyDescent="0.3">
      <c r="A45" s="4" t="s">
        <v>81</v>
      </c>
      <c r="B45" s="5">
        <v>46100</v>
      </c>
      <c r="C45" s="4" t="s">
        <v>46</v>
      </c>
      <c r="D45" s="4" t="s">
        <v>78</v>
      </c>
      <c r="E45" s="4">
        <v>89</v>
      </c>
      <c r="F45" s="4" t="s">
        <v>21</v>
      </c>
      <c r="G45" s="4" t="s">
        <v>90</v>
      </c>
      <c r="H45" s="4" t="s">
        <v>26</v>
      </c>
      <c r="I45" s="1">
        <v>26000</v>
      </c>
      <c r="J45" s="1">
        <v>28000</v>
      </c>
      <c r="K45" s="1" t="str">
        <f t="shared" si="0"/>
        <v>Below</v>
      </c>
    </row>
    <row r="46" spans="1:11" x14ac:dyDescent="0.3">
      <c r="A46" s="4" t="s">
        <v>67</v>
      </c>
      <c r="B46" s="5">
        <v>46086</v>
      </c>
      <c r="C46" s="4" t="s">
        <v>16</v>
      </c>
      <c r="D46" s="4" t="s">
        <v>63</v>
      </c>
      <c r="E46" s="4">
        <v>74</v>
      </c>
      <c r="F46" s="4" t="s">
        <v>17</v>
      </c>
      <c r="G46" s="4" t="s">
        <v>89</v>
      </c>
      <c r="H46" s="4" t="s">
        <v>14</v>
      </c>
      <c r="I46" s="1">
        <v>27000</v>
      </c>
      <c r="J46" s="1">
        <v>25000</v>
      </c>
      <c r="K46" s="1" t="str">
        <f t="shared" si="0"/>
        <v>Above</v>
      </c>
    </row>
    <row r="47" spans="1:11" x14ac:dyDescent="0.3">
      <c r="A47" s="4" t="s">
        <v>28</v>
      </c>
      <c r="B47" s="5">
        <v>46102</v>
      </c>
      <c r="C47" s="4" t="s">
        <v>20</v>
      </c>
      <c r="D47" s="4" t="s">
        <v>11</v>
      </c>
      <c r="E47" s="4">
        <v>56</v>
      </c>
      <c r="F47" s="4" t="s">
        <v>17</v>
      </c>
      <c r="G47" s="4" t="s">
        <v>89</v>
      </c>
      <c r="H47" s="4" t="s">
        <v>23</v>
      </c>
      <c r="I47" s="1">
        <v>28000</v>
      </c>
      <c r="J47" s="1">
        <v>28000</v>
      </c>
      <c r="K47" s="1" t="str">
        <f t="shared" si="0"/>
        <v>Met</v>
      </c>
    </row>
    <row r="48" spans="1:11" x14ac:dyDescent="0.3">
      <c r="A48" s="4" t="s">
        <v>49</v>
      </c>
      <c r="B48" s="5">
        <v>46098</v>
      </c>
      <c r="C48" s="4" t="s">
        <v>10</v>
      </c>
      <c r="D48" s="4" t="s">
        <v>38</v>
      </c>
      <c r="E48" s="4">
        <v>55</v>
      </c>
      <c r="F48" s="4" t="s">
        <v>17</v>
      </c>
      <c r="G48" s="4" t="s">
        <v>89</v>
      </c>
      <c r="H48" s="4" t="s">
        <v>14</v>
      </c>
      <c r="I48" s="1">
        <v>15000</v>
      </c>
      <c r="J48" s="1">
        <v>16000</v>
      </c>
      <c r="K48" s="1" t="str">
        <f t="shared" si="0"/>
        <v>Below</v>
      </c>
    </row>
    <row r="49" spans="1:11" x14ac:dyDescent="0.3">
      <c r="A49" s="4" t="s">
        <v>55</v>
      </c>
      <c r="B49" s="5">
        <v>46104</v>
      </c>
      <c r="C49" s="4" t="s">
        <v>16</v>
      </c>
      <c r="D49" s="4" t="s">
        <v>51</v>
      </c>
      <c r="E49" s="4">
        <v>91</v>
      </c>
      <c r="F49" s="4" t="s">
        <v>12</v>
      </c>
      <c r="G49" s="4" t="s">
        <v>89</v>
      </c>
      <c r="H49" s="4" t="s">
        <v>14</v>
      </c>
      <c r="I49" s="1">
        <v>26000</v>
      </c>
      <c r="J49" s="1">
        <v>28000</v>
      </c>
      <c r="K49" s="1" t="str">
        <f t="shared" si="0"/>
        <v>Below</v>
      </c>
    </row>
    <row r="50" spans="1:11" x14ac:dyDescent="0.3">
      <c r="A50" s="4" t="s">
        <v>45</v>
      </c>
      <c r="B50" s="5">
        <v>46093</v>
      </c>
      <c r="C50" s="4" t="s">
        <v>46</v>
      </c>
      <c r="D50" s="4" t="s">
        <v>38</v>
      </c>
      <c r="E50" s="4">
        <v>64</v>
      </c>
      <c r="F50" s="4" t="s">
        <v>17</v>
      </c>
      <c r="G50" s="4" t="s">
        <v>90</v>
      </c>
      <c r="H50" s="4" t="s">
        <v>26</v>
      </c>
      <c r="I50" s="1">
        <v>22000</v>
      </c>
      <c r="J50" s="1">
        <v>24000</v>
      </c>
      <c r="K50" s="1" t="str">
        <f t="shared" si="0"/>
        <v>Below</v>
      </c>
    </row>
    <row r="51" spans="1:11" x14ac:dyDescent="0.3">
      <c r="A51" s="4" t="s">
        <v>30</v>
      </c>
      <c r="B51" s="5">
        <v>46085</v>
      </c>
      <c r="C51" s="4" t="s">
        <v>16</v>
      </c>
      <c r="D51" s="4" t="s">
        <v>11</v>
      </c>
      <c r="E51" s="4">
        <v>57</v>
      </c>
      <c r="F51" s="4" t="s">
        <v>17</v>
      </c>
      <c r="G51" s="4" t="s">
        <v>89</v>
      </c>
      <c r="H51" s="4" t="s">
        <v>14</v>
      </c>
      <c r="I51" s="1">
        <v>25000</v>
      </c>
      <c r="J51" s="1">
        <v>27000</v>
      </c>
      <c r="K51" s="1" t="str">
        <f t="shared" si="0"/>
        <v>Below</v>
      </c>
    </row>
  </sheetData>
  <autoFilter ref="A1:K5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selection activeCell="D51" sqref="A1:D51"/>
    </sheetView>
  </sheetViews>
  <sheetFormatPr defaultRowHeight="14.4" x14ac:dyDescent="0.3"/>
  <cols>
    <col min="1" max="3" width="30.6640625" style="4" customWidth="1"/>
    <col min="4" max="4" width="45.33203125" style="4" customWidth="1"/>
  </cols>
  <sheetData>
    <row r="1" spans="1:4" x14ac:dyDescent="0.3">
      <c r="A1" s="2" t="s">
        <v>0</v>
      </c>
      <c r="B1" s="2" t="s">
        <v>1</v>
      </c>
      <c r="C1" s="2" t="s">
        <v>5</v>
      </c>
      <c r="D1" s="2" t="s">
        <v>83</v>
      </c>
    </row>
    <row r="2" spans="1:4" x14ac:dyDescent="0.3">
      <c r="A2" s="4" t="s">
        <v>60</v>
      </c>
      <c r="B2" s="4" t="s">
        <v>20</v>
      </c>
      <c r="C2" s="4" t="s">
        <v>29</v>
      </c>
      <c r="D2" s="4" t="s">
        <v>84</v>
      </c>
    </row>
    <row r="3" spans="1:4" x14ac:dyDescent="0.3">
      <c r="A3" s="4" t="s">
        <v>70</v>
      </c>
      <c r="B3" s="4" t="s">
        <v>10</v>
      </c>
      <c r="C3" s="4" t="s">
        <v>22</v>
      </c>
      <c r="D3" s="4" t="s">
        <v>84</v>
      </c>
    </row>
    <row r="4" spans="1:4" x14ac:dyDescent="0.3">
      <c r="A4" s="4" t="s">
        <v>39</v>
      </c>
      <c r="B4" s="4" t="s">
        <v>16</v>
      </c>
      <c r="C4" s="4" t="s">
        <v>29</v>
      </c>
      <c r="D4" s="4" t="s">
        <v>84</v>
      </c>
    </row>
    <row r="5" spans="1:4" x14ac:dyDescent="0.3">
      <c r="A5" s="4" t="s">
        <v>65</v>
      </c>
      <c r="B5" s="4" t="s">
        <v>43</v>
      </c>
      <c r="C5" s="4" t="s">
        <v>34</v>
      </c>
      <c r="D5" s="4" t="s">
        <v>85</v>
      </c>
    </row>
    <row r="6" spans="1:4" x14ac:dyDescent="0.3">
      <c r="A6" s="4" t="s">
        <v>64</v>
      </c>
      <c r="B6" s="4" t="s">
        <v>43</v>
      </c>
      <c r="C6" s="4" t="s">
        <v>22</v>
      </c>
      <c r="D6" s="4" t="s">
        <v>85</v>
      </c>
    </row>
    <row r="7" spans="1:4" x14ac:dyDescent="0.3">
      <c r="A7" s="4" t="s">
        <v>9</v>
      </c>
      <c r="B7" s="4" t="s">
        <v>10</v>
      </c>
      <c r="C7" s="4" t="s">
        <v>13</v>
      </c>
      <c r="D7" s="4" t="s">
        <v>85</v>
      </c>
    </row>
    <row r="8" spans="1:4" x14ac:dyDescent="0.3">
      <c r="A8" s="4" t="s">
        <v>31</v>
      </c>
      <c r="B8" s="4" t="s">
        <v>10</v>
      </c>
      <c r="C8" s="4" t="s">
        <v>18</v>
      </c>
      <c r="D8" s="4" t="s">
        <v>85</v>
      </c>
    </row>
    <row r="9" spans="1:4" x14ac:dyDescent="0.3">
      <c r="A9" s="4" t="s">
        <v>35</v>
      </c>
      <c r="B9" s="4" t="s">
        <v>33</v>
      </c>
      <c r="C9" s="4" t="s">
        <v>34</v>
      </c>
      <c r="D9" s="4" t="s">
        <v>85</v>
      </c>
    </row>
    <row r="10" spans="1:4" x14ac:dyDescent="0.3">
      <c r="A10" s="4" t="s">
        <v>59</v>
      </c>
      <c r="B10" s="4" t="s">
        <v>16</v>
      </c>
      <c r="C10" s="4" t="s">
        <v>29</v>
      </c>
      <c r="D10" s="4" t="s">
        <v>84</v>
      </c>
    </row>
    <row r="11" spans="1:4" x14ac:dyDescent="0.3">
      <c r="A11" s="4" t="s">
        <v>42</v>
      </c>
      <c r="B11" s="4" t="s">
        <v>43</v>
      </c>
      <c r="C11" s="4" t="s">
        <v>13</v>
      </c>
      <c r="D11" s="4" t="s">
        <v>85</v>
      </c>
    </row>
    <row r="12" spans="1:4" x14ac:dyDescent="0.3">
      <c r="A12" s="4" t="s">
        <v>37</v>
      </c>
      <c r="B12" s="4" t="s">
        <v>33</v>
      </c>
      <c r="C12" s="4" t="s">
        <v>34</v>
      </c>
      <c r="D12" s="4" t="s">
        <v>85</v>
      </c>
    </row>
    <row r="13" spans="1:4" x14ac:dyDescent="0.3">
      <c r="A13" s="4" t="s">
        <v>75</v>
      </c>
      <c r="B13" s="4" t="s">
        <v>20</v>
      </c>
      <c r="C13" s="4" t="s">
        <v>22</v>
      </c>
      <c r="D13" s="4" t="s">
        <v>84</v>
      </c>
    </row>
    <row r="14" spans="1:4" x14ac:dyDescent="0.3">
      <c r="A14" s="4" t="s">
        <v>56</v>
      </c>
      <c r="B14" s="4" t="s">
        <v>46</v>
      </c>
      <c r="C14" s="4" t="s">
        <v>29</v>
      </c>
      <c r="D14" s="4" t="s">
        <v>86</v>
      </c>
    </row>
    <row r="15" spans="1:4" x14ac:dyDescent="0.3">
      <c r="A15" s="4" t="s">
        <v>74</v>
      </c>
      <c r="B15" s="4" t="s">
        <v>20</v>
      </c>
      <c r="C15" s="4" t="s">
        <v>29</v>
      </c>
      <c r="D15" s="4" t="s">
        <v>84</v>
      </c>
    </row>
    <row r="16" spans="1:4" x14ac:dyDescent="0.3">
      <c r="A16" s="4" t="s">
        <v>52</v>
      </c>
      <c r="B16" s="4" t="s">
        <v>43</v>
      </c>
      <c r="C16" s="4" t="s">
        <v>13</v>
      </c>
      <c r="D16" s="4" t="s">
        <v>85</v>
      </c>
    </row>
    <row r="17" spans="1:4" x14ac:dyDescent="0.3">
      <c r="A17" s="4" t="s">
        <v>57</v>
      </c>
      <c r="B17" s="4" t="s">
        <v>46</v>
      </c>
      <c r="C17" s="4" t="s">
        <v>13</v>
      </c>
      <c r="D17" s="4" t="s">
        <v>86</v>
      </c>
    </row>
    <row r="18" spans="1:4" x14ac:dyDescent="0.3">
      <c r="A18" s="4" t="s">
        <v>40</v>
      </c>
      <c r="B18" s="4" t="s">
        <v>10</v>
      </c>
      <c r="C18" s="4" t="s">
        <v>34</v>
      </c>
      <c r="D18" s="4" t="s">
        <v>86</v>
      </c>
    </row>
    <row r="19" spans="1:4" x14ac:dyDescent="0.3">
      <c r="A19" s="4" t="s">
        <v>72</v>
      </c>
      <c r="B19" s="4" t="s">
        <v>16</v>
      </c>
      <c r="C19" s="4" t="s">
        <v>29</v>
      </c>
      <c r="D19" s="4" t="s">
        <v>84</v>
      </c>
    </row>
    <row r="20" spans="1:4" x14ac:dyDescent="0.3">
      <c r="A20" s="4" t="s">
        <v>48</v>
      </c>
      <c r="B20" s="4" t="s">
        <v>46</v>
      </c>
      <c r="C20" s="4" t="s">
        <v>22</v>
      </c>
      <c r="D20" s="4" t="s">
        <v>86</v>
      </c>
    </row>
    <row r="21" spans="1:4" x14ac:dyDescent="0.3">
      <c r="A21" s="4" t="s">
        <v>77</v>
      </c>
      <c r="B21" s="4" t="s">
        <v>16</v>
      </c>
      <c r="C21" s="4" t="s">
        <v>18</v>
      </c>
      <c r="D21" s="4" t="s">
        <v>84</v>
      </c>
    </row>
    <row r="22" spans="1:4" x14ac:dyDescent="0.3">
      <c r="A22" s="4" t="s">
        <v>66</v>
      </c>
      <c r="B22" s="4" t="s">
        <v>10</v>
      </c>
      <c r="C22" s="4" t="s">
        <v>29</v>
      </c>
      <c r="D22" s="4" t="s">
        <v>84</v>
      </c>
    </row>
    <row r="23" spans="1:4" x14ac:dyDescent="0.3">
      <c r="A23" s="4" t="s">
        <v>27</v>
      </c>
      <c r="B23" s="4" t="s">
        <v>10</v>
      </c>
      <c r="C23" s="4" t="s">
        <v>18</v>
      </c>
      <c r="D23" s="4" t="s">
        <v>84</v>
      </c>
    </row>
    <row r="24" spans="1:4" x14ac:dyDescent="0.3">
      <c r="A24" s="4" t="s">
        <v>19</v>
      </c>
      <c r="B24" s="4" t="s">
        <v>20</v>
      </c>
      <c r="C24" s="4" t="s">
        <v>22</v>
      </c>
      <c r="D24" s="4" t="s">
        <v>84</v>
      </c>
    </row>
    <row r="25" spans="1:4" x14ac:dyDescent="0.3">
      <c r="A25" s="4" t="s">
        <v>69</v>
      </c>
      <c r="B25" s="4" t="s">
        <v>25</v>
      </c>
      <c r="C25" s="4" t="s">
        <v>22</v>
      </c>
      <c r="D25" s="4" t="s">
        <v>87</v>
      </c>
    </row>
    <row r="26" spans="1:4" x14ac:dyDescent="0.3">
      <c r="A26" s="4" t="s">
        <v>15</v>
      </c>
      <c r="B26" s="4" t="s">
        <v>16</v>
      </c>
      <c r="C26" s="4" t="s">
        <v>18</v>
      </c>
      <c r="D26" s="4" t="s">
        <v>84</v>
      </c>
    </row>
    <row r="27" spans="1:4" x14ac:dyDescent="0.3">
      <c r="A27" s="4" t="s">
        <v>32</v>
      </c>
      <c r="B27" s="4" t="s">
        <v>33</v>
      </c>
      <c r="C27" s="4" t="s">
        <v>34</v>
      </c>
      <c r="D27" s="4" t="s">
        <v>84</v>
      </c>
    </row>
    <row r="28" spans="1:4" x14ac:dyDescent="0.3">
      <c r="A28" s="4" t="s">
        <v>73</v>
      </c>
      <c r="B28" s="4" t="s">
        <v>43</v>
      </c>
      <c r="C28" s="4" t="s">
        <v>13</v>
      </c>
      <c r="D28" s="4" t="s">
        <v>85</v>
      </c>
    </row>
    <row r="29" spans="1:4" x14ac:dyDescent="0.3">
      <c r="A29" s="4" t="s">
        <v>41</v>
      </c>
      <c r="B29" s="4" t="s">
        <v>20</v>
      </c>
      <c r="C29" s="4" t="s">
        <v>22</v>
      </c>
      <c r="D29" s="4" t="s">
        <v>84</v>
      </c>
    </row>
    <row r="30" spans="1:4" x14ac:dyDescent="0.3">
      <c r="A30" s="4" t="s">
        <v>54</v>
      </c>
      <c r="B30" s="4" t="s">
        <v>25</v>
      </c>
      <c r="C30" s="4" t="s">
        <v>18</v>
      </c>
      <c r="D30" s="4" t="s">
        <v>87</v>
      </c>
    </row>
    <row r="31" spans="1:4" x14ac:dyDescent="0.3">
      <c r="A31" s="4" t="s">
        <v>79</v>
      </c>
      <c r="B31" s="4" t="s">
        <v>43</v>
      </c>
      <c r="C31" s="4" t="s">
        <v>13</v>
      </c>
      <c r="D31" s="4" t="s">
        <v>85</v>
      </c>
    </row>
    <row r="32" spans="1:4" x14ac:dyDescent="0.3">
      <c r="A32" s="4" t="s">
        <v>47</v>
      </c>
      <c r="B32" s="4" t="s">
        <v>25</v>
      </c>
      <c r="C32" s="4" t="s">
        <v>22</v>
      </c>
      <c r="D32" s="4" t="s">
        <v>87</v>
      </c>
    </row>
    <row r="33" spans="1:4" x14ac:dyDescent="0.3">
      <c r="A33" s="4" t="s">
        <v>80</v>
      </c>
      <c r="B33" s="4" t="s">
        <v>43</v>
      </c>
      <c r="C33" s="4" t="s">
        <v>22</v>
      </c>
      <c r="D33" s="4" t="s">
        <v>85</v>
      </c>
    </row>
    <row r="34" spans="1:4" x14ac:dyDescent="0.3">
      <c r="A34" s="4" t="s">
        <v>82</v>
      </c>
      <c r="B34" s="4" t="s">
        <v>20</v>
      </c>
      <c r="C34" s="4" t="s">
        <v>29</v>
      </c>
      <c r="D34" s="4" t="s">
        <v>84</v>
      </c>
    </row>
    <row r="35" spans="1:4" x14ac:dyDescent="0.3">
      <c r="A35" s="4" t="s">
        <v>58</v>
      </c>
      <c r="B35" s="4" t="s">
        <v>16</v>
      </c>
      <c r="C35" s="4" t="s">
        <v>29</v>
      </c>
      <c r="D35" s="4" t="s">
        <v>84</v>
      </c>
    </row>
    <row r="36" spans="1:4" x14ac:dyDescent="0.3">
      <c r="A36" s="4" t="s">
        <v>24</v>
      </c>
      <c r="B36" s="4" t="s">
        <v>25</v>
      </c>
      <c r="C36" s="4" t="s">
        <v>18</v>
      </c>
      <c r="D36" s="4" t="s">
        <v>87</v>
      </c>
    </row>
    <row r="37" spans="1:4" x14ac:dyDescent="0.3">
      <c r="A37" s="4" t="s">
        <v>53</v>
      </c>
      <c r="B37" s="4" t="s">
        <v>46</v>
      </c>
      <c r="C37" s="4" t="s">
        <v>22</v>
      </c>
      <c r="D37" s="4" t="s">
        <v>86</v>
      </c>
    </row>
    <row r="38" spans="1:4" x14ac:dyDescent="0.3">
      <c r="A38" s="4" t="s">
        <v>50</v>
      </c>
      <c r="B38" s="4" t="s">
        <v>25</v>
      </c>
      <c r="C38" s="4" t="s">
        <v>18</v>
      </c>
      <c r="D38" s="4" t="s">
        <v>87</v>
      </c>
    </row>
    <row r="39" spans="1:4" x14ac:dyDescent="0.3">
      <c r="A39" s="4" t="s">
        <v>62</v>
      </c>
      <c r="B39" s="4" t="s">
        <v>25</v>
      </c>
      <c r="C39" s="4" t="s">
        <v>22</v>
      </c>
      <c r="D39" s="4" t="s">
        <v>87</v>
      </c>
    </row>
    <row r="40" spans="1:4" x14ac:dyDescent="0.3">
      <c r="A40" s="4" t="s">
        <v>44</v>
      </c>
      <c r="B40" s="4" t="s">
        <v>43</v>
      </c>
      <c r="C40" s="4" t="s">
        <v>22</v>
      </c>
      <c r="D40" s="4" t="s">
        <v>85</v>
      </c>
    </row>
    <row r="41" spans="1:4" x14ac:dyDescent="0.3">
      <c r="A41" s="4" t="s">
        <v>76</v>
      </c>
      <c r="B41" s="4" t="s">
        <v>46</v>
      </c>
      <c r="C41" s="4" t="s">
        <v>13</v>
      </c>
      <c r="D41" s="4" t="s">
        <v>86</v>
      </c>
    </row>
    <row r="42" spans="1:4" x14ac:dyDescent="0.3">
      <c r="A42" s="4" t="s">
        <v>61</v>
      </c>
      <c r="B42" s="4" t="s">
        <v>25</v>
      </c>
      <c r="C42" s="4" t="s">
        <v>18</v>
      </c>
      <c r="D42" s="4" t="s">
        <v>87</v>
      </c>
    </row>
    <row r="43" spans="1:4" x14ac:dyDescent="0.3">
      <c r="A43" s="4" t="s">
        <v>36</v>
      </c>
      <c r="B43" s="4" t="s">
        <v>20</v>
      </c>
      <c r="C43" s="4" t="s">
        <v>13</v>
      </c>
      <c r="D43" s="4" t="s">
        <v>84</v>
      </c>
    </row>
    <row r="44" spans="1:4" x14ac:dyDescent="0.3">
      <c r="A44" s="4" t="s">
        <v>68</v>
      </c>
      <c r="B44" s="4" t="s">
        <v>46</v>
      </c>
      <c r="C44" s="4" t="s">
        <v>22</v>
      </c>
      <c r="D44" s="4" t="s">
        <v>86</v>
      </c>
    </row>
    <row r="45" spans="1:4" x14ac:dyDescent="0.3">
      <c r="A45" s="4" t="s">
        <v>81</v>
      </c>
      <c r="B45" s="4" t="s">
        <v>46</v>
      </c>
      <c r="C45" s="4" t="s">
        <v>22</v>
      </c>
      <c r="D45" s="4" t="s">
        <v>86</v>
      </c>
    </row>
    <row r="46" spans="1:4" x14ac:dyDescent="0.3">
      <c r="A46" s="4" t="s">
        <v>67</v>
      </c>
      <c r="B46" s="4" t="s">
        <v>16</v>
      </c>
      <c r="C46" s="4" t="s">
        <v>29</v>
      </c>
      <c r="D46" s="4" t="s">
        <v>84</v>
      </c>
    </row>
    <row r="47" spans="1:4" x14ac:dyDescent="0.3">
      <c r="A47" s="4" t="s">
        <v>28</v>
      </c>
      <c r="B47" s="4" t="s">
        <v>20</v>
      </c>
      <c r="C47" s="4" t="s">
        <v>29</v>
      </c>
      <c r="D47" s="4" t="s">
        <v>84</v>
      </c>
    </row>
    <row r="48" spans="1:4" x14ac:dyDescent="0.3">
      <c r="A48" s="4" t="s">
        <v>49</v>
      </c>
      <c r="B48" s="4" t="s">
        <v>10</v>
      </c>
      <c r="C48" s="4" t="s">
        <v>13</v>
      </c>
      <c r="D48" s="4" t="s">
        <v>84</v>
      </c>
    </row>
    <row r="49" spans="1:4" x14ac:dyDescent="0.3">
      <c r="A49" s="4" t="s">
        <v>55</v>
      </c>
      <c r="B49" s="4" t="s">
        <v>16</v>
      </c>
      <c r="C49" s="4" t="s">
        <v>29</v>
      </c>
      <c r="D49" s="4" t="s">
        <v>84</v>
      </c>
    </row>
    <row r="50" spans="1:4" x14ac:dyDescent="0.3">
      <c r="A50" s="4" t="s">
        <v>45</v>
      </c>
      <c r="B50" s="4" t="s">
        <v>46</v>
      </c>
      <c r="C50" s="4" t="s">
        <v>13</v>
      </c>
      <c r="D50" s="4" t="s">
        <v>86</v>
      </c>
    </row>
    <row r="51" spans="1:4" x14ac:dyDescent="0.3">
      <c r="A51" s="4" t="s">
        <v>30</v>
      </c>
      <c r="B51" s="4" t="s">
        <v>16</v>
      </c>
      <c r="C51" s="4" t="s">
        <v>29</v>
      </c>
      <c r="D51" s="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2026-04-08T09:00:48Z</dcterms:created>
  <dcterms:modified xsi:type="dcterms:W3CDTF">2026-04-09T14:08:24Z</dcterms:modified>
</cp:coreProperties>
</file>